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Rates &amp; Notes" sheetId="2" state="visible" r:id="rId2"/>
    <sheet xmlns:r="http://schemas.openxmlformats.org/officeDocument/2006/relationships" name="Limits" sheetId="3" state="visible" r:id="rId3"/>
    <sheet xmlns:r="http://schemas.openxmlformats.org/officeDocument/2006/relationships" name="Bob's list" sheetId="4" state="visible" r:id="rId4"/>
    <sheet xmlns:r="http://schemas.openxmlformats.org/officeDocument/2006/relationships" name="Trend" sheetId="5" state="visible" r:id="rId5"/>
  </sheets>
  <definedNames>
    <definedName name="Income">Limits!$B$2</definedName>
    <definedName name="_xlnm._FilterDatabase" localSheetId="0" hidden="1">'Budget'!$A$2:$E$7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i val="1"/>
    </font>
    <font>
      <b val="1"/>
    </font>
    <font>
      <strike val="1"/>
      <color rgb="00C0000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4" fontId="4" fillId="0" borderId="0" pivotButton="0" quotePrefix="0" xfId="0"/>
    <xf numFmtId="9" fontId="0" fillId="0" borderId="0" pivotButton="0" quotePrefix="0" xfId="0"/>
    <xf numFmtId="0" fontId="5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'Budget'!$A$3:$A$7</f>
            </numRef>
          </cat>
          <val>
            <numRef>
              <f>'Budget'!$C$3:$C$7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and costs</a:t>
            </a:r>
          </a:p>
        </rich>
      </tx>
    </title>
    <plotArea>
      <lineChart>
        <grouping val="standard"/>
        <ser>
          <idx val="0"/>
          <order val="0"/>
          <tx>
            <strRef>
              <f>'Trend'!B1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'Trend'!$A$2:$A$5</f>
            </numRef>
          </cat>
          <val>
            <numRef>
              <f>'Trend'!$B$2:$B$5</f>
            </numRef>
          </val>
        </ser>
        <ser>
          <idx val="1"/>
          <order val="1"/>
          <tx>
            <strRef>
              <f>'Trend'!C1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'Trend'!$A$2:$A$5</f>
            </numRef>
          </cat>
          <val>
            <numRef>
              <f>'Trend'!$C$2:$C$5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pieChart>
        <varyColors val="1"/>
        <ser>
          <idx val="0"/>
          <order val="0"/>
          <tx>
            <strRef>
              <f>'Trend'!B1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'Trend'!$A$2:$A$5</f>
            </numRef>
          </cat>
          <val>
            <numRef>
              <f>'Trend'!$B$2:$B$5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4" max="4"/>
  </cols>
  <sheetData>
    <row r="1" ht="30" customHeight="1">
      <c r="A1" s="1" t="inlineStr">
        <is>
          <t>Household budget 2026</t>
        </is>
      </c>
    </row>
    <row r="2">
      <c r="A2" s="2" t="inlineStr">
        <is>
          <t>Item</t>
        </is>
      </c>
      <c r="B2" s="2" t="inlineStr">
        <is>
          <t>Category</t>
        </is>
      </c>
      <c r="C2" s="2" t="inlineStr">
        <is>
          <t>Amount</t>
        </is>
      </c>
      <c r="D2" s="2" t="inlineStr">
        <is>
          <t>Date</t>
        </is>
      </c>
      <c r="E2" s="2" t="inlineStr">
        <is>
          <t>Share</t>
        </is>
      </c>
    </row>
    <row r="3">
      <c r="A3" t="inlineStr">
        <is>
          <t>Rent</t>
        </is>
      </c>
      <c r="B3" t="inlineStr">
        <is>
          <t>Home</t>
        </is>
      </c>
      <c r="C3" s="3" t="n">
        <v>1200</v>
      </c>
      <c r="D3" s="4" t="n">
        <v>46023</v>
      </c>
      <c r="E3" s="5">
        <f>C3/$C$9</f>
        <v/>
      </c>
    </row>
    <row r="4">
      <c r="A4" t="inlineStr">
        <is>
          <t>Groceries</t>
        </is>
      </c>
      <c r="B4" t="inlineStr">
        <is>
          <t>Food</t>
        </is>
      </c>
      <c r="C4" s="3" t="n">
        <v>450.5</v>
      </c>
      <c r="D4" s="4" t="n">
        <v>46025</v>
      </c>
      <c r="E4" s="5">
        <f>C4/$C$9</f>
        <v/>
      </c>
    </row>
    <row r="5">
      <c r="A5" t="inlineStr">
        <is>
          <t>Electricity</t>
        </is>
      </c>
      <c r="B5" t="inlineStr">
        <is>
          <t>Home</t>
        </is>
      </c>
      <c r="C5" s="3" t="n">
        <v>85.25</v>
      </c>
      <c r="D5" s="4" t="n">
        <v>46032</v>
      </c>
      <c r="E5" s="5">
        <f>C5/$C$9</f>
        <v/>
      </c>
    </row>
    <row r="6">
      <c r="A6" t="inlineStr">
        <is>
          <t>Cinema</t>
        </is>
      </c>
      <c r="B6" t="inlineStr">
        <is>
          <t>Fun</t>
        </is>
      </c>
      <c r="C6" s="3" t="n">
        <v>32</v>
      </c>
      <c r="D6" s="4" t="n">
        <v>46036</v>
      </c>
      <c r="E6" s="5">
        <f>C6/$C$9</f>
        <v/>
      </c>
    </row>
    <row r="7">
      <c r="A7" t="inlineStr">
        <is>
          <t>Train pass</t>
        </is>
      </c>
      <c r="B7" t="inlineStr">
        <is>
          <t>Travel</t>
        </is>
      </c>
      <c r="C7" s="3" t="n">
        <v>79.90000000000001</v>
      </c>
      <c r="D7" s="4" t="n">
        <v>46042</v>
      </c>
      <c r="E7" s="5">
        <f>C7/$C$9</f>
        <v/>
      </c>
    </row>
    <row r="9">
      <c r="A9" s="6" t="inlineStr">
        <is>
          <t>Total</t>
        </is>
      </c>
      <c r="C9" s="7">
        <f>SUM(C3:C7)</f>
        <v/>
      </c>
    </row>
    <row r="10">
      <c r="A10" t="inlineStr">
        <is>
          <t>Biggest</t>
        </is>
      </c>
      <c r="C10">
        <f>MAX(C3:C7)</f>
        <v/>
      </c>
    </row>
    <row r="11">
      <c r="A11" t="inlineStr">
        <is>
          <t>Over budget?</t>
        </is>
      </c>
      <c r="C11">
        <f>IF(C9&gt;Limits!B2,"yes","no")</f>
        <v/>
      </c>
    </row>
    <row r="12">
      <c r="A12" t="inlineStr">
        <is>
          <t>Home rate</t>
        </is>
      </c>
      <c r="C12" s="8">
        <f>VLOOKUP("Home",'Rates &amp; Notes'!A2:B5,2,FALSE)</f>
        <v/>
      </c>
    </row>
    <row r="13">
      <c r="A13" t="inlineStr">
        <is>
          <t>Days</t>
        </is>
      </c>
      <c r="C13">
        <f>D7-D3</f>
        <v/>
      </c>
    </row>
    <row r="14">
      <c r="A14" t="inlineStr">
        <is>
          <t>Code</t>
        </is>
      </c>
      <c r="C14" t="inlineStr">
        <is>
          <t>00123</t>
        </is>
      </c>
    </row>
    <row r="15">
      <c r="A15" t="inlineStr">
        <is>
          <t>Flag</t>
        </is>
      </c>
      <c r="C15" t="b">
        <v>1</v>
      </c>
    </row>
    <row r="16">
      <c r="A16" t="inlineStr">
        <is>
          <t>Owner</t>
        </is>
      </c>
      <c r="C16">
        <f>"Bob's "&amp;'Bob''s list'!A1</f>
        <v/>
      </c>
    </row>
    <row r="17">
      <c r="A17" t="inlineStr">
        <is>
          <t>Mean</t>
        </is>
      </c>
      <c r="C17" s="9">
        <f>AVERAGE(C3:C7)</f>
        <v/>
      </c>
    </row>
  </sheetData>
  <autoFilter ref="A2:E7"/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Rate</t>
        </is>
      </c>
      <c r="D1" t="inlineStr">
        <is>
          <t>Notes</t>
        </is>
      </c>
    </row>
    <row r="2">
      <c r="A2" t="inlineStr">
        <is>
          <t>Home</t>
        </is>
      </c>
      <c r="B2" t="n">
        <v>0.4</v>
      </c>
      <c r="D2" t="inlineStr">
        <is>
          <t>Rates are shares of the monthly income.</t>
        </is>
      </c>
    </row>
    <row r="3">
      <c r="A3" t="inlineStr">
        <is>
          <t>Food</t>
        </is>
      </c>
      <c r="B3" t="n">
        <v>0.25</v>
      </c>
    </row>
    <row r="4">
      <c r="A4" t="inlineStr">
        <is>
          <t>Fun</t>
        </is>
      </c>
      <c r="B4" t="n">
        <v>0.1</v>
      </c>
    </row>
    <row r="5">
      <c r="A5" t="inlineStr">
        <is>
          <t>Travel</t>
        </is>
      </c>
      <c r="B5" t="n">
        <v>0.25</v>
      </c>
    </row>
    <row r="7">
      <c r="B7">
        <f>SUM(B2:B5)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</t>
        </is>
      </c>
    </row>
    <row r="2">
      <c r="A2" t="inlineStr">
        <is>
          <t>Monthly</t>
        </is>
      </c>
      <c r="B2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Costs</t>
        </is>
      </c>
    </row>
    <row r="2">
      <c r="A2" t="inlineStr">
        <is>
          <t>Jan</t>
        </is>
      </c>
      <c r="B2" t="n">
        <v>10</v>
      </c>
      <c r="C2" t="n">
        <v>6</v>
      </c>
    </row>
    <row r="3">
      <c r="A3" t="inlineStr">
        <is>
          <t>Feb</t>
        </is>
      </c>
      <c r="B3" t="n">
        <v>13</v>
      </c>
      <c r="C3" t="n">
        <v>7</v>
      </c>
    </row>
    <row r="4">
      <c r="A4" t="inlineStr">
        <is>
          <t>Mar</t>
        </is>
      </c>
      <c r="B4" t="n">
        <v>16</v>
      </c>
      <c r="C4" t="n">
        <v>8</v>
      </c>
    </row>
    <row r="5">
      <c r="A5" t="inlineStr">
        <is>
          <t>Apr</t>
        </is>
      </c>
      <c r="B5" t="n">
        <v>19</v>
      </c>
      <c r="C5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2026-10-06T22:54:56Z</dcterms:created>
  <dcterms:modified xmlns:dcterms="http://purl.org/dc/terms/" xmlns:xsi="http://www.w3.org/2001/XMLSchema-instance" xsi:type="dcterms:W3CDTF">2026-10-06T22:54:56Z</dcterms:modified>
</cp:coreProperties>
</file>