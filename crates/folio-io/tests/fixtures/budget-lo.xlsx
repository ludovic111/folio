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Rates &amp; Notes" sheetId="2" state="visible" r:id="rId4"/>
    <sheet name="Limits" sheetId="3" state="visible" r:id="rId5"/>
    <sheet name="Bob's list" sheetId="4" state="visible" r:id="rId6"/>
    <sheet name="Trend" sheetId="5" state="visible" r:id="rId7"/>
  </sheets>
  <definedNames>
    <definedName function="false" hidden="true" localSheetId="0" name="_xlnm._FilterDatabase" vbProcedure="false">Budget!$A$2:$E$7</definedName>
    <definedName function="false" hidden="false" name="Income" vbProcedure="false">Limits!$B$2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<sst xmlns="http://schemas.openxmlformats.org/spreadsheetml/2006/main" count="44" uniqueCount="38">
  <si>
    <t xml:space="preserve">Household budget 2026</t>
  </si>
  <si>
    <t xml:space="preserve">Item</t>
  </si>
  <si>
    <t xml:space="preserve">Category</t>
  </si>
  <si>
    <t xml:space="preserve">Amount</t>
  </si>
  <si>
    <t xml:space="preserve">Date</t>
  </si>
  <si>
    <t xml:space="preserve">Share</t>
  </si>
  <si>
    <t xml:space="preserve">Rent</t>
  </si>
  <si>
    <t xml:space="preserve">Home</t>
  </si>
  <si>
    <t xml:space="preserve">Groceries</t>
  </si>
  <si>
    <t xml:space="preserve">Food</t>
  </si>
  <si>
    <t xml:space="preserve">Electricity</t>
  </si>
  <si>
    <t xml:space="preserve">Cinema</t>
  </si>
  <si>
    <t xml:space="preserve">Fun</t>
  </si>
  <si>
    <t xml:space="preserve">Train pass</t>
  </si>
  <si>
    <t xml:space="preserve">Travel</t>
  </si>
  <si>
    <t xml:space="preserve">Total</t>
  </si>
  <si>
    <t xml:space="preserve">Biggest</t>
  </si>
  <si>
    <t xml:space="preserve">Over budget?</t>
  </si>
  <si>
    <t xml:space="preserve">Home rate</t>
  </si>
  <si>
    <t xml:space="preserve">Days</t>
  </si>
  <si>
    <t xml:space="preserve">Code</t>
  </si>
  <si>
    <t xml:space="preserve">00123</t>
  </si>
  <si>
    <t xml:space="preserve">Flag</t>
  </si>
  <si>
    <t xml:space="preserve">Owner</t>
  </si>
  <si>
    <t xml:space="preserve">Mean</t>
  </si>
  <si>
    <t xml:space="preserve">Rate</t>
  </si>
  <si>
    <t xml:space="preserve">Notes</t>
  </si>
  <si>
    <t xml:space="preserve">Rates are shares of the monthly income.</t>
  </si>
  <si>
    <t xml:space="preserve">Limit</t>
  </si>
  <si>
    <t xml:space="preserve">Monthly</t>
  </si>
  <si>
    <t xml:space="preserve">Ann</t>
  </si>
  <si>
    <t xml:space="preserve">Month</t>
  </si>
  <si>
    <t xml:space="preserve">Sales</t>
  </si>
  <si>
    <t xml:space="preserve">Costs</t>
  </si>
  <si>
    <t xml:space="preserve">Jan</t>
  </si>
  <si>
    <t xml:space="preserve">Feb</t>
  </si>
  <si>
    <t xml:space="preserve">Mar</t>
  </si>
  <si>
    <t xml:space="preserve">Apr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</si>
</sst>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yyyy\-mm\-dd"/>
    <numFmt numFmtId="167" formatCode="0.0%"/>
    <numFmt numFmtId="168" formatCode="0%"/>
  </numFmts>
  <fonts count="11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mbria"/>
      <family val="0"/>
    </font>
    <font>
      <b val="true"/>
      <sz val="11"/>
      <color theme="1"/>
      <name val="Cambria"/>
      <family val="0"/>
    </font>
    <font>
      <b val="true"/>
      <i val="true"/>
      <sz val="11"/>
      <color theme="1"/>
      <name val="Cambria"/>
      <family val="0"/>
    </font>
    <font>
      <b val="true"/>
      <sz val="11"/>
      <color theme="1"/>
      <name val="Cambria"/>
      <family val="0"/>
    </font>
    <font>
      <strike val="true"/>
      <u val="single"/>
      <sz val="11"/>
      <color theme="1"/>
      <name val="Cambria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Spending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Budget!$C$2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Budget!$A$3:$A$7</c:f>
              <c:strCache>
                <c:ptCount val="5"/>
                <c:pt idx="0">
                  <c:v>Rent</c:v>
                </c:pt>
                <c:pt idx="1">
                  <c:v>Groceries</c:v>
                </c:pt>
                <c:pt idx="2">
                  <c:v>Electricity</c:v>
                </c:pt>
                <c:pt idx="3">
                  <c:v>Cinema</c:v>
                </c:pt>
                <c:pt idx="4">
                  <c:v>Train pass</c:v>
                </c:pt>
              </c:strCache>
            </c:strRef>
          </c:cat>
          <c:val>
            <c:numRef>
              <c:f>Budget!$C$3:$C$7</c:f>
              <c:numCache>
                <c:formatCode>#,##0.00</c:formatCode>
                <c:ptCount val="5"/>
                <c:pt idx="0">
                  <c:v>1200</c:v>
                </c:pt>
                <c:pt idx="1">
                  <c:v>450.5</c:v>
                </c:pt>
                <c:pt idx="2">
                  <c:v>85.25</c:v>
                </c:pt>
                <c:pt idx="3">
                  <c:v>32</c:v>
                </c:pt>
                <c:pt idx="4">
                  <c:v>79.9</c:v>
                </c:pt>
              </c:numCache>
            </c:numRef>
          </c:val>
        </c:ser>
        <c:gapWidth val="150"/>
        <c:overlap val="0"/>
        <c:axId val="34440307"/>
        <c:axId val="82431624"/>
      </c:barChart>
      <c:catAx>
        <c:axId val="344403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431624"/>
        <c:crosses val="autoZero"/>
        <c:auto val="1"/>
        <c:lblAlgn val="ctr"/>
        <c:lblOffset val="100"/>
        <c:noMultiLvlLbl val="0"/>
      </c:catAx>
      <c:valAx>
        <c:axId val="824316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44030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Sales and costs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Trend!$B$1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Trend!$B$2:$B$5</c:f>
              <c:numCache>
                <c:formatCode>General</c:formatCode>
                <c:ptCount val="4"/>
                <c:pt idx="0">
                  <c:v>10</c:v>
                </c:pt>
                <c:pt idx="1">
                  <c:v>13</c:v>
                </c:pt>
                <c:pt idx="2">
                  <c:v>16</c:v>
                </c:pt>
                <c:pt idx="3">
                  <c:v>19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Trend!$C$1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Trend!$C$2:$C$5</c:f>
              <c:numCache>
                <c:formatCode>General</c:formatCode>
                <c:ptCount val="4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616163"/>
        <c:axId val="58876175"/>
      </c:lineChart>
      <c:catAx>
        <c:axId val="196161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876175"/>
        <c:crosses val="autoZero"/>
        <c:auto val="1"/>
        <c:lblAlgn val="ctr"/>
        <c:lblOffset val="100"/>
        <c:noMultiLvlLbl val="0"/>
      </c:catAx>
      <c:valAx>
        <c:axId val="588761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6161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Trend!$B$1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Trend!$A$2:$A$5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Trend!$B$2:$B$5</c:f>
              <c:numCache>
                <c:formatCode>General</c:formatCode>
                <c:ptCount val="4"/>
                <c:pt idx="0">
                  <c:v>10</c:v>
                </c:pt>
                <c:pt idx="1">
                  <c:v>13</c:v>
                </c:pt>
                <c:pt idx="2">
                  <c:v>16</c:v>
                </c:pt>
                <c:pt idx="3">
                  <c:v>19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14</xdr:col>
      <xdr:colOff>507600</xdr:colOff>
      <xdr:row>17</xdr:row>
      <xdr:rowOff>66240</xdr:rowOff>
    </xdr:to>
    <xdr:graphicFrame>
      <xdr:nvGraphicFramePr>
        <xdr:cNvPr id="1" name="Chart 1"/>
        <xdr:cNvGraphicFramePr/>
      </xdr:nvGraphicFramePr>
      <xdr:xfrm>
        <a:off x="4935960" y="5562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12</xdr:col>
      <xdr:colOff>507600</xdr:colOff>
      <xdr:row>16</xdr:row>
      <xdr:rowOff>70920</xdr:rowOff>
    </xdr:to>
    <xdr:graphicFrame>
      <xdr:nvGraphicFramePr>
        <xdr:cNvPr id="2" name="Chart 1"/>
        <xdr:cNvGraphicFramePr/>
      </xdr:nvGraphicFramePr>
      <xdr:xfrm>
        <a:off x="2446200" y="1753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19</xdr:row>
      <xdr:rowOff>0</xdr:rowOff>
    </xdr:from>
    <xdr:to>
      <xdr:col>12</xdr:col>
      <xdr:colOff>507600</xdr:colOff>
      <xdr:row>35</xdr:row>
      <xdr:rowOff>86040</xdr:rowOff>
    </xdr:to>
    <xdr:graphicFrame>
      <xdr:nvGraphicFramePr>
        <xdr:cNvPr id="3" name="Chart 2"/>
        <xdr:cNvGraphicFramePr/>
      </xdr:nvGraphicFramePr>
      <xdr:xfrm>
        <a:off x="2446200" y="3330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4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3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3.8" hidden="false" customHeight="false" outlineLevel="0" collapsed="false">
      <c r="A3" s="0" t="s">
        <v>6</v>
      </c>
      <c r="B3" s="0" t="s">
        <v>7</v>
      </c>
      <c r="C3" s="3" t="n">
        <v>1200</v>
      </c>
      <c r="D3" s="4" t="n">
        <v>46023</v>
      </c>
      <c r="E3" s="5" t="n">
        <f aca="false">C3/$C$9</f>
        <v>0.64947365572484</v>
      </c>
    </row>
    <row r="4" customFormat="false" ht="13.8" hidden="false" customHeight="false" outlineLevel="0" collapsed="false">
      <c r="A4" s="0" t="s">
        <v>8</v>
      </c>
      <c r="B4" s="0" t="s">
        <v>9</v>
      </c>
      <c r="C4" s="3" t="n">
        <v>450.5</v>
      </c>
      <c r="D4" s="4" t="n">
        <v>46025</v>
      </c>
      <c r="E4" s="5" t="n">
        <f aca="false">C4/$C$9</f>
        <v>0.243823234920034</v>
      </c>
    </row>
    <row r="5" customFormat="false" ht="13.8" hidden="false" customHeight="false" outlineLevel="0" collapsed="false">
      <c r="A5" s="0" t="s">
        <v>10</v>
      </c>
      <c r="B5" s="0" t="s">
        <v>7</v>
      </c>
      <c r="C5" s="3" t="n">
        <v>85.25</v>
      </c>
      <c r="D5" s="4" t="n">
        <v>46032</v>
      </c>
      <c r="E5" s="5" t="n">
        <f aca="false">C5/$C$9</f>
        <v>0.0461396909587855</v>
      </c>
    </row>
    <row r="6" customFormat="false" ht="13.8" hidden="false" customHeight="false" outlineLevel="0" collapsed="false">
      <c r="A6" s="0" t="s">
        <v>11</v>
      </c>
      <c r="B6" s="0" t="s">
        <v>12</v>
      </c>
      <c r="C6" s="3" t="n">
        <v>32</v>
      </c>
      <c r="D6" s="4" t="n">
        <v>46036</v>
      </c>
      <c r="E6" s="5" t="n">
        <f aca="false">C6/$C$9</f>
        <v>0.0173192974859957</v>
      </c>
    </row>
    <row r="7" customFormat="false" ht="13.8" hidden="false" customHeight="false" outlineLevel="0" collapsed="false">
      <c r="A7" s="0" t="s">
        <v>13</v>
      </c>
      <c r="B7" s="0" t="s">
        <v>14</v>
      </c>
      <c r="C7" s="3" t="n">
        <v>79.9</v>
      </c>
      <c r="D7" s="4" t="n">
        <v>46042</v>
      </c>
      <c r="E7" s="5" t="n">
        <f aca="false">C7/$C$9</f>
        <v>0.0432441209103456</v>
      </c>
    </row>
    <row r="8" customFormat="false" ht="13.8" hidden="false" customHeight="false" outlineLevel="0" collapsed="false"/>
    <row r="9" customFormat="false" ht="13.8" hidden="false" customHeight="false" outlineLevel="0" collapsed="false">
      <c r="A9" s="6" t="s">
        <v>15</v>
      </c>
      <c r="C9" s="7" t="n">
        <f aca="false">SUM(C3:C7)</f>
        <v>1847.65</v>
      </c>
    </row>
    <row r="10" customFormat="false" ht="13.8" hidden="false" customHeight="false" outlineLevel="0" collapsed="false">
      <c r="A10" s="0" t="s">
        <v>16</v>
      </c>
      <c r="C10" s="0" t="n">
        <f aca="false">MAX(C3:C7)</f>
        <v>1200</v>
      </c>
    </row>
    <row r="11" customFormat="false" ht="13.8" hidden="false" customHeight="false" outlineLevel="0" collapsed="false">
      <c r="A11" s="0" t="s">
        <v>17</v>
      </c>
      <c r="C11" s="0" t="str">
        <f aca="false">IF(C9&gt;Limits!B2,"yes","no")</f>
        <v>no</v>
      </c>
    </row>
    <row r="12" customFormat="false" ht="13.8" hidden="false" customHeight="false" outlineLevel="0" collapsed="false">
      <c r="A12" s="0" t="s">
        <v>18</v>
      </c>
      <c r="C12" s="8" t="n">
        <f aca="false">VLOOKUP("Home",'Rates &amp; Notes'!A2:B5,2,FALSE())</f>
        <v>0.4</v>
      </c>
    </row>
    <row r="13" customFormat="false" ht="13.8" hidden="false" customHeight="false" outlineLevel="0" collapsed="false">
      <c r="A13" s="0" t="s">
        <v>19</v>
      </c>
      <c r="C13" s="0" t="n">
        <f aca="false">D7-D3</f>
        <v>19</v>
      </c>
    </row>
    <row r="14" customFormat="false" ht="13.8" hidden="false" customHeight="false" outlineLevel="0" collapsed="false">
      <c r="A14" s="0" t="s">
        <v>20</v>
      </c>
      <c r="C14" s="0" t="s">
        <v>21</v>
      </c>
    </row>
    <row r="15" customFormat="false" ht="13.8" hidden="false" customHeight="false" outlineLevel="0" collapsed="false">
      <c r="A15" s="0" t="s">
        <v>22</v>
      </c>
      <c r="C15" s="9" t="b">
        <f aca="false">TRUE()</f>
        <v>1</v>
      </c>
    </row>
    <row r="16" customFormat="false" ht="13.8" hidden="false" customHeight="false" outlineLevel="0" collapsed="false">
      <c r="A16" s="0" t="s">
        <v>23</v>
      </c>
      <c r="C16" s="0" t="str">
        <f aca="false">"Bob's "&amp;'Bob''s list'!A1</f>
        <v>Bob's Ann</v>
      </c>
    </row>
    <row r="17" customFormat="false" ht="14.15" hidden="false" customHeight="false" outlineLevel="0" collapsed="false">
      <c r="A17" s="0" t="s">
        <v>24</v>
      </c>
      <c r="C17" s="10" t="n">
        <f aca="false">AVERAGE(C3:C7)</f>
        <v>369.53</v>
      </c>
    </row>
  </sheetData>
  <autoFilter ref="A2:E7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2</v>
      </c>
      <c r="B1" s="0" t="s">
        <v>25</v>
      </c>
      <c r="D1" s="0" t="s">
        <v>26</v>
      </c>
    </row>
    <row r="2" customFormat="false" ht="13.8" hidden="false" customHeight="false" outlineLevel="0" collapsed="false">
      <c r="A2" s="0" t="s">
        <v>7</v>
      </c>
      <c r="B2" s="0" t="n">
        <v>0.4</v>
      </c>
      <c r="D2" s="0" t="s">
        <v>27</v>
      </c>
    </row>
    <row r="3" customFormat="false" ht="13.8" hidden="false" customHeight="false" outlineLevel="0" collapsed="false">
      <c r="A3" s="0" t="s">
        <v>9</v>
      </c>
      <c r="B3" s="0" t="n">
        <v>0.25</v>
      </c>
    </row>
    <row r="4" customFormat="false" ht="13.8" hidden="false" customHeight="false" outlineLevel="0" collapsed="false">
      <c r="A4" s="0" t="s">
        <v>12</v>
      </c>
      <c r="B4" s="0" t="n">
        <v>0.1</v>
      </c>
    </row>
    <row r="5" customFormat="false" ht="13.8" hidden="false" customHeight="false" outlineLevel="0" collapsed="false">
      <c r="A5" s="0" t="s">
        <v>14</v>
      </c>
      <c r="B5" s="0" t="n">
        <v>0.25</v>
      </c>
    </row>
    <row r="6" customFormat="false" ht="13.8" hidden="false" customHeight="false" outlineLevel="0" collapsed="false"/>
    <row r="7" customFormat="false" ht="13.8" hidden="false" customHeight="false" outlineLevel="0" collapsed="false">
      <c r="B7" s="0" t="n">
        <f aca="false">SUM(B2:B5)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28</v>
      </c>
    </row>
    <row r="2" customFormat="false" ht="13.8" hidden="false" customHeight="false" outlineLevel="0" collapsed="false">
      <c r="A2" s="0" t="s">
        <v>29</v>
      </c>
      <c r="B2" s="0" t="n">
        <v>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31</v>
      </c>
      <c r="B1" s="0" t="s">
        <v>32</v>
      </c>
      <c r="C1" s="0" t="s">
        <v>33</v>
      </c>
    </row>
    <row r="2" customFormat="false" ht="13.8" hidden="false" customHeight="false" outlineLevel="0" collapsed="false">
      <c r="A2" s="0" t="s">
        <v>34</v>
      </c>
      <c r="B2" s="0" t="n">
        <v>10</v>
      </c>
      <c r="C2" s="0" t="n">
        <v>6</v>
      </c>
    </row>
    <row r="3" customFormat="false" ht="13.8" hidden="false" customHeight="false" outlineLevel="0" collapsed="false">
      <c r="A3" s="0" t="s">
        <v>35</v>
      </c>
      <c r="B3" s="0" t="n">
        <v>13</v>
      </c>
      <c r="C3" s="0" t="n">
        <v>7</v>
      </c>
    </row>
    <row r="4" customFormat="false" ht="13.8" hidden="false" customHeight="false" outlineLevel="0" collapsed="false">
      <c r="A4" s="0" t="s">
        <v>36</v>
      </c>
      <c r="B4" s="0" t="n">
        <v>16</v>
      </c>
      <c r="C4" s="0" t="n">
        <v>8</v>
      </c>
    </row>
    <row r="5" customFormat="false" ht="13.8" hidden="false" customHeight="false" outlineLevel="0" collapsed="false">
      <c r="A5" s="0" t="s">
        <v>37</v>
      </c>
      <c r="B5" s="0" t="n">
        <v>19</v>
      </c>
      <c r="C5" s="0" t="n">
        <v>9</v>
      </c>
    </row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2026-10-06T22:54:56Z</dcterms:created>
  <dc:creator>openpyxl</dc:creator>
  <dc:description/>
  <dc:language>en-US</dc:language>
  <cp:lastModifiedBy/>
  <dcterms:modified xsi:type="dcterms:W3CDTF">2026-10-06T22:54:56Z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